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openxmlformats-officedocument.spreadsheetml.pivotTable+xml" PartName="/xl/pivotTables/pivotTable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s les lignes #1002  et #1003" sheetId="1" r:id="rId5"/>
    <sheet state="visible" name="Tableau croisé dynamique 1" sheetId="2" r:id="rId6"/>
  </sheets>
  <definedNames>
    <definedName hidden="1" localSheetId="0" name="Z_3362E044_6728_4DE1_9542_5F0883C753B9_.wvu.FilterData">'Dans les lignes #1002  et #1003'!$A$1:$G$8</definedName>
    <definedName name="SlicerCache_Table_1_Col_2">#N/A</definedName>
  </definedNames>
  <calcPr/>
  <customWorkbookViews>
    <customWorkbookView activeSheetId="0" maximized="1" windowHeight="0" windowWidth="0" guid="{3362E044-6728-4DE1-9542-5F0883C753B9}" name="Filtre 1"/>
  </customWorkbookViews>
  <pivotCaches>
    <pivotCache cacheId="0" r:id="rId7"/>
  </pivotCaches>
  <extLst>
    <ext uri="{46BE6895-7355-4a93-B00E-2C351335B9C9}">
      <x15:slicerCaches>
        <x14:slicerCache r:id="rId8"/>
      </x15:slicerCaches>
    </ext>
  </extLst>
</workbook>
</file>

<file path=xl/sharedStrings.xml><?xml version="1.0" encoding="utf-8"?>
<sst xmlns="http://schemas.openxmlformats.org/spreadsheetml/2006/main" count="37" uniqueCount="26">
  <si>
    <t>ID</t>
  </si>
  <si>
    <t>Date</t>
  </si>
  <si>
    <t>Produit</t>
  </si>
  <si>
    <t>Categorie</t>
  </si>
  <si>
    <t>Quantite</t>
  </si>
  <si>
    <t>Prix_Unitaire</t>
  </si>
  <si>
    <t>Total</t>
  </si>
  <si>
    <t>Chiffre d'Affaires Total</t>
  </si>
  <si>
    <t>#1001</t>
  </si>
  <si>
    <t>T-shirt coton</t>
  </si>
  <si>
    <t>Vêtements</t>
  </si>
  <si>
    <t>#1002</t>
  </si>
  <si>
    <t>Pull Laine</t>
  </si>
  <si>
    <t>#1003</t>
  </si>
  <si>
    <t>Chaussures Sport</t>
  </si>
  <si>
    <t>Chaussures</t>
  </si>
  <si>
    <t>Nombre Total de Ventes</t>
  </si>
  <si>
    <t>#1004</t>
  </si>
  <si>
    <t>#1005</t>
  </si>
  <si>
    <t>Casquette</t>
  </si>
  <si>
    <t>Accessoires</t>
  </si>
  <si>
    <t>#1006</t>
  </si>
  <si>
    <t>Panier Moyen</t>
  </si>
  <si>
    <t>#1007</t>
  </si>
  <si>
    <t>SUM de Total</t>
  </si>
  <si>
    <t>Total général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</si>
</sst>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
    <font>
      <sz val="10.0"/>
      <color rgb="FF000000"/>
      <name val="Arial"/>
      <scheme val="minor"/>
    </font>
    <font>
      <b/>
      <sz val="12.0"/>
      <color theme="1"/>
      <name val="Arial"/>
      <scheme val="minor"/>
    </font>
    <font>
      <b/>
      <color theme="1"/>
      <name val="Arial"/>
      <scheme val="minor"/>
    </font>
    <font>
      <sz val="12.0"/>
      <color theme="1"/>
      <name val="Arial"/>
      <scheme val="minor"/>
    </font>
    <font>
      <color theme="1"/>
      <name val="Arial"/>
      <scheme val="minor"/>
    </font>
  </fonts>
  <fills count="3">
    <fill>
      <patternFill patternType="none"/>
    </fill>
    <fill>
      <patternFill patternType="lightGray"/>
    </fill>
    <fill>
      <patternFill patternType="solid">
        <fgColor rgb="FF999999"/>
        <bgColor rgb="FF9999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0" fillId="0" fontId="2" numFmtId="0" xfId="0" applyAlignment="1" applyFont="1">
      <alignment horizontal="center" vertical="center"/>
    </xf>
    <xf borderId="0" fillId="0" fontId="1" numFmtId="0" xfId="0" applyAlignment="1" applyFont="1">
      <alignment horizontal="left" readingOrder="0" vertical="center"/>
    </xf>
    <xf borderId="1" fillId="0" fontId="3" numFmtId="0" xfId="0" applyAlignment="1" applyBorder="1" applyFont="1">
      <alignment readingOrder="0" vertical="center"/>
    </xf>
    <xf borderId="1" fillId="0" fontId="3" numFmtId="164" xfId="0" applyAlignment="1" applyBorder="1" applyFont="1" applyNumberFormat="1">
      <alignment readingOrder="0" vertical="center"/>
    </xf>
    <xf borderId="1" fillId="0" fontId="3" numFmtId="0" xfId="0" applyAlignment="1" applyBorder="1" applyFont="1">
      <alignment horizontal="left" readingOrder="0" vertical="center"/>
    </xf>
    <xf borderId="1" fillId="0" fontId="3" numFmtId="0" xfId="0" applyAlignment="1" applyBorder="1" applyFont="1">
      <alignment vertical="center"/>
    </xf>
    <xf borderId="0" fillId="0" fontId="3" numFmtId="0" xfId="0" applyFont="1"/>
    <xf borderId="0" fillId="0" fontId="4"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 Id="rId8" Type="http://schemas.microsoft.com/office/2007/relationships/slicerCache" Target="slicerCaches/slicerCache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de Total par rapport à Categorie</a:t>
            </a:r>
          </a:p>
        </c:rich>
      </c:tx>
      <c:overlay val="0"/>
    </c:title>
    <c:plotArea>
      <c:layout/>
      <c:barChart>
        <c:barDir val="col"/>
        <c:ser>
          <c:idx val="0"/>
          <c:order val="0"/>
          <c:tx>
            <c:strRef>
              <c:f>'Tableau croisé dynamique 1'!$B$1</c:f>
            </c:strRef>
          </c:tx>
          <c:spPr>
            <a:solidFill>
              <a:schemeClr val="accent1"/>
            </a:solidFill>
            <a:ln cmpd="sng">
              <a:noFill/>
            </a:ln>
          </c:spPr>
          <c:cat>
            <c:strRef>
              <c:f>'Tableau croisé dynamique 1'!$A$2:$A$5</c:f>
            </c:strRef>
          </c:cat>
          <c:val>
            <c:numRef>
              <c:f>'Tableau croisé dynamique 1'!$B$2:$B$5</c:f>
              <c:numCache/>
            </c:numRef>
          </c:val>
        </c:ser>
        <c:axId val="1144677178"/>
        <c:axId val="2080212090"/>
      </c:barChart>
      <c:catAx>
        <c:axId val="11446771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Categorie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80212090"/>
      </c:catAx>
      <c:valAx>
        <c:axId val="20802120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de Total</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44677178"/>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0</xdr:row>
      <xdr:rowOff>0</xdr:rowOff>
    </xdr:from>
    <xdr:ext cx="5715000" cy="3533775"/>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xdr:colOff>
      <xdr:row>19</xdr:row>
      <xdr:rowOff>19050</xdr:rowOff>
    </xdr:from>
    <xdr:ext cx="2857500" cy="2857500"/>
    <mc:AlternateContent>
      <mc:Choice Requires="sle15">
        <xdr:graphicFrame>
          <xdr:nvGraphicFramePr>
            <xdr:cNvPr id="1" name="Date_1"/>
            <xdr:cNvGraphicFramePr/>
          </xdr:nvGraphicFramePr>
          <xdr:xfrm>
            <a:off x="0" y="0"/>
            <a:ext cx="0" cy="0"/>
          </xdr:xfrm>
          <a:graphic>
            <a:graphicData uri="http://schemas.microsoft.com/office/drawing/2010/slicer">
              <x3Unk:slicer name="Dat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8" sheet="Dans les lignes #1002  et #1003"/>
  </cacheSource>
  <cacheFields>
    <cacheField name="ID" numFmtId="0">
      <sharedItems>
        <s v="#1001"/>
        <s v="#1002"/>
        <s v="#1003"/>
        <s v="#1004"/>
        <s v="#1005"/>
        <s v="#1006"/>
        <s v="#1007"/>
      </sharedItems>
    </cacheField>
    <cacheField name="Date" numFmtId="164">
      <sharedItems containsSemiMixedTypes="0" containsDate="1" containsString="0">
        <d v="2026-07-01T00:00:00Z"/>
        <d v="2026-07-02T00:00:00Z"/>
        <d v="2026-07-03T00:00:00Z"/>
        <d v="2026-07-04T00:00:00Z"/>
        <d v="2026-07-05T00:00:00Z"/>
      </sharedItems>
    </cacheField>
    <cacheField name="Produit" numFmtId="0">
      <sharedItems>
        <s v="T-shirt coton"/>
        <s v="Pull Laine"/>
        <s v="Chaussures Sport"/>
        <s v="Casquette"/>
      </sharedItems>
    </cacheField>
    <cacheField name="Categorie" numFmtId="0">
      <sharedItems>
        <s v="Vêtements"/>
        <s v="Chaussures"/>
        <s v="Accessoires"/>
      </sharedItems>
    </cacheField>
    <cacheField name="Quantite" numFmtId="0">
      <sharedItems containsSemiMixedTypes="0" containsString="0" containsNumber="1" containsInteger="1">
        <n v="2.0"/>
        <n v="1.0"/>
        <n v="4.0"/>
        <n v="3.0"/>
      </sharedItems>
    </cacheField>
    <cacheField name="Prix_Unitaire" numFmtId="0">
      <sharedItems containsSemiMixedTypes="0" containsString="0" containsNumber="1" containsInteger="1">
        <n v="15.0"/>
        <n v="45.0"/>
        <n v="80.0"/>
        <n v="20.0"/>
      </sharedItems>
    </cacheField>
    <cacheField name="Total" numFmtId="0">
      <sharedItems containsSemiMixedTypes="0" containsString="0" containsNumber="1" containsInteger="1">
        <n v="30.0"/>
        <n v="45.0"/>
        <n v="80.0"/>
        <n v="60.0"/>
        <n v="160.0"/>
        <n v="90.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eau croisé dynamique 1" cacheId="0" dataCaption="" compact="0" compactData="0">
  <location ref="A3:B7" firstHeaderRow="0" firstDataRow="1" firstDataCol="0" rowPageCount="1" colPageCount="1"/>
  <pivotFields>
    <pivotField name="ID" compact="0" outline="0" multipleItemSelectionAllowed="1" showAll="0">
      <items>
        <item x="0"/>
        <item x="1"/>
        <item x="2"/>
        <item x="3"/>
        <item x="4"/>
        <item x="5"/>
        <item x="6"/>
        <item t="default"/>
      </items>
    </pivotField>
    <pivotField name="Date" axis="axisPage" compact="0" numFmtId="164" outline="0" multipleItemSelectionAllowed="1" showAll="0">
      <items>
        <item x="0"/>
        <item x="1"/>
        <item x="2"/>
        <item x="3"/>
        <item x="4"/>
        <item t="default"/>
      </items>
    </pivotField>
    <pivotField name="Produit" compact="0" outline="0" multipleItemSelectionAllowed="1" showAll="0">
      <items>
        <item x="0"/>
        <item x="1"/>
        <item x="2"/>
        <item x="3"/>
        <item t="default"/>
      </items>
    </pivotField>
    <pivotField name="Categorie" axis="axisRow" compact="0" outline="0" multipleItemSelectionAllowed="1" showAll="0" sortType="ascending">
      <items>
        <item x="2"/>
        <item x="1"/>
        <item x="0"/>
        <item t="default"/>
      </items>
    </pivotField>
    <pivotField name="Quantite" compact="0" outline="0" multipleItemSelectionAllowed="1" showAll="0">
      <items>
        <item x="0"/>
        <item x="1"/>
        <item x="2"/>
        <item x="3"/>
        <item t="default"/>
      </items>
    </pivotField>
    <pivotField name="Prix_Unitaire" compact="0" outline="0" multipleItemSelectionAllowed="1" showAll="0">
      <items>
        <item x="0"/>
        <item x="1"/>
        <item x="2"/>
        <item x="3"/>
        <item t="default"/>
      </items>
    </pivotField>
    <pivotField name="Total" dataField="1" compact="0" outline="0" multipleItemSelectionAllowed="1" showAll="0">
      <items>
        <item x="0"/>
        <item x="1"/>
        <item x="2"/>
        <item x="3"/>
        <item x="4"/>
        <item x="5"/>
        <item t="default"/>
      </items>
    </pivotField>
  </pivotFields>
  <rowFields>
    <field x="3"/>
  </rowFields>
  <pageFields>
    <pageField fld="1"/>
  </pageFields>
  <dataFields>
    <dataField name="SUM of Total" fld="6"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Date">
  <x14:extLst>
    <ext uri="{2F2917AC-EB37-4324-AD4E-5DD8C200BD13}">
      <x15:tableSlicerCache tableId="1" column="2"/>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Date_1" cache="SlicerCache_Table_1_Col_2" caption="Date" rowHeight="247650"/>
</x14:slicers>
</file>

<file path=xl/tables/table1.xml><?xml version="1.0" encoding="utf-8"?>
<table xmlns="http://schemas.openxmlformats.org/spreadsheetml/2006/main" ref="A1:G8" displayName="Table_1" name="Table_1" id="1">
  <autoFilter ref="$A$1:$G$8"/>
  <tableColumns count="7">
    <tableColumn name="ID" id="1"/>
    <tableColumn name="Date" id="2"/>
    <tableColumn name="Produit" id="3"/>
    <tableColumn name="Categorie" id="4"/>
    <tableColumn name="Quantite" id="5"/>
    <tableColumn name="Prix_Unitaire" id="6"/>
    <tableColumn name="Total" id="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0"/>
    <col customWidth="1" min="3" max="3" width="19.63"/>
    <col customWidth="1" min="4" max="4" width="16.63"/>
    <col customWidth="1" min="9" max="9" width="23.63"/>
  </cols>
  <sheetData>
    <row r="1" ht="22.5" customHeight="1">
      <c r="A1" s="1" t="s">
        <v>0</v>
      </c>
      <c r="B1" s="1" t="s">
        <v>1</v>
      </c>
      <c r="C1" s="1" t="s">
        <v>2</v>
      </c>
      <c r="D1" s="1" t="s">
        <v>3</v>
      </c>
      <c r="E1" s="1" t="s">
        <v>4</v>
      </c>
      <c r="F1" s="1" t="s">
        <v>5</v>
      </c>
      <c r="G1" s="1" t="s">
        <v>6</v>
      </c>
      <c r="H1" s="2"/>
      <c r="I1" s="3" t="s">
        <v>7</v>
      </c>
      <c r="J1" s="2"/>
      <c r="K1" s="2"/>
      <c r="L1" s="2"/>
      <c r="M1" s="2"/>
      <c r="N1" s="2"/>
      <c r="O1" s="2"/>
      <c r="P1" s="2"/>
      <c r="Q1" s="2"/>
      <c r="R1" s="2"/>
      <c r="S1" s="2"/>
      <c r="T1" s="2"/>
      <c r="U1" s="2"/>
      <c r="V1" s="2"/>
      <c r="W1" s="2"/>
      <c r="X1" s="2"/>
      <c r="Y1" s="2"/>
      <c r="Z1" s="2"/>
    </row>
    <row r="2" ht="23.25" customHeight="1">
      <c r="A2" s="4" t="s">
        <v>8</v>
      </c>
      <c r="B2" s="5">
        <v>46204.0</v>
      </c>
      <c r="C2" s="6" t="s">
        <v>9</v>
      </c>
      <c r="D2" s="6" t="s">
        <v>10</v>
      </c>
      <c r="E2" s="4">
        <v>2.0</v>
      </c>
      <c r="F2" s="4">
        <v>15.0</v>
      </c>
      <c r="G2" s="7">
        <f t="shared" ref="G2:G8" si="1">E2*F2</f>
        <v>30</v>
      </c>
      <c r="I2" s="8">
        <f>SUM(G2:G8)</f>
        <v>525</v>
      </c>
    </row>
    <row r="3" ht="25.5" customHeight="1">
      <c r="A3" s="4" t="s">
        <v>11</v>
      </c>
      <c r="B3" s="5">
        <v>46205.0</v>
      </c>
      <c r="C3" s="6" t="s">
        <v>12</v>
      </c>
      <c r="D3" s="6" t="s">
        <v>10</v>
      </c>
      <c r="E3" s="4">
        <v>1.0</v>
      </c>
      <c r="F3" s="4">
        <v>45.0</v>
      </c>
      <c r="G3" s="7">
        <f t="shared" si="1"/>
        <v>45</v>
      </c>
      <c r="I3" s="8"/>
    </row>
    <row r="4" ht="24.0" customHeight="1">
      <c r="A4" s="4" t="s">
        <v>13</v>
      </c>
      <c r="B4" s="5">
        <v>46205.0</v>
      </c>
      <c r="C4" s="6" t="s">
        <v>14</v>
      </c>
      <c r="D4" s="6" t="s">
        <v>15</v>
      </c>
      <c r="E4" s="4">
        <v>1.0</v>
      </c>
      <c r="F4" s="4">
        <v>80.0</v>
      </c>
      <c r="G4" s="7">
        <f t="shared" si="1"/>
        <v>80</v>
      </c>
      <c r="I4" s="3" t="s">
        <v>16</v>
      </c>
    </row>
    <row r="5" ht="24.0" customHeight="1">
      <c r="A5" s="4" t="s">
        <v>17</v>
      </c>
      <c r="B5" s="5">
        <v>46206.0</v>
      </c>
      <c r="C5" s="6" t="s">
        <v>9</v>
      </c>
      <c r="D5" s="6" t="s">
        <v>10</v>
      </c>
      <c r="E5" s="4">
        <v>4.0</v>
      </c>
      <c r="F5" s="4">
        <v>15.0</v>
      </c>
      <c r="G5" s="7">
        <f t="shared" si="1"/>
        <v>60</v>
      </c>
      <c r="I5" s="8">
        <f>COUNTA(A2:A8)</f>
        <v>7</v>
      </c>
    </row>
    <row r="6" ht="24.0" customHeight="1">
      <c r="A6" s="4" t="s">
        <v>18</v>
      </c>
      <c r="B6" s="5">
        <v>46207.0</v>
      </c>
      <c r="C6" s="6" t="s">
        <v>19</v>
      </c>
      <c r="D6" s="6" t="s">
        <v>20</v>
      </c>
      <c r="E6" s="4">
        <v>3.0</v>
      </c>
      <c r="F6" s="4">
        <v>20.0</v>
      </c>
      <c r="G6" s="7">
        <f t="shared" si="1"/>
        <v>60</v>
      </c>
      <c r="I6" s="8"/>
    </row>
    <row r="7" ht="27.0" customHeight="1">
      <c r="A7" s="4" t="s">
        <v>21</v>
      </c>
      <c r="B7" s="5">
        <v>46208.0</v>
      </c>
      <c r="C7" s="6" t="s">
        <v>14</v>
      </c>
      <c r="D7" s="6" t="s">
        <v>15</v>
      </c>
      <c r="E7" s="4">
        <v>2.0</v>
      </c>
      <c r="F7" s="4">
        <v>80.0</v>
      </c>
      <c r="G7" s="7">
        <f t="shared" si="1"/>
        <v>160</v>
      </c>
      <c r="I7" s="3" t="s">
        <v>22</v>
      </c>
    </row>
    <row r="8" ht="24.0" customHeight="1">
      <c r="A8" s="4" t="s">
        <v>23</v>
      </c>
      <c r="B8" s="5">
        <v>46208.0</v>
      </c>
      <c r="C8" s="6" t="s">
        <v>12</v>
      </c>
      <c r="D8" s="6" t="s">
        <v>10</v>
      </c>
      <c r="E8" s="4">
        <v>2.0</v>
      </c>
      <c r="F8" s="4">
        <v>45.0</v>
      </c>
      <c r="G8" s="7">
        <f t="shared" si="1"/>
        <v>90</v>
      </c>
      <c r="I8" s="8">
        <f>I2/I5</f>
        <v>75</v>
      </c>
    </row>
    <row r="11">
      <c r="F11" s="8"/>
    </row>
  </sheetData>
  <customSheetViews>
    <customSheetView guid="{3362E044-6728-4DE1-9542-5F0883C753B9}" filter="1" showAutoFilter="1">
      <autoFilter ref="$A$1:$G$8"/>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extLst>
    <ext uri="{3A4CF648-6AED-40f4-86FF-DC5316D8AED3}">
      <x14:slicerList>
        <x14:slicer r:id="rId3"/>
      </x14:slicerList>
    </ext>
  </extLst>
</worksheet>
</file>